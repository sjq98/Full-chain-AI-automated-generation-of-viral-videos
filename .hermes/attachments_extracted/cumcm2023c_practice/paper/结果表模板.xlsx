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2_日补货总量(kg)" sheetId="1" state="visible" r:id="rId1"/>
    <sheet xmlns:r="http://schemas.openxmlformats.org/officeDocument/2006/relationships" name="问题2_日定价(元kg)" sheetId="2" state="visible" r:id="rId2"/>
    <sheet xmlns:r="http://schemas.openxmlformats.org/officeDocument/2006/relationships" name="问题3_单品补货清单" sheetId="3" state="visible" r:id="rId3"/>
    <sheet xmlns:r="http://schemas.openxmlformats.org/officeDocument/2006/relationships" name="问题1_描述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品类</t>
        </is>
      </c>
      <c r="B1" s="1" t="inlineStr">
        <is>
          <t>7月1日</t>
        </is>
      </c>
      <c r="C1" s="1" t="inlineStr">
        <is>
          <t>7月2日</t>
        </is>
      </c>
      <c r="D1" s="1" t="inlineStr">
        <is>
          <t>7月3日</t>
        </is>
      </c>
      <c r="E1" s="1" t="inlineStr">
        <is>
          <t>7月4日</t>
        </is>
      </c>
      <c r="F1" s="1" t="inlineStr">
        <is>
          <t>7月5日</t>
        </is>
      </c>
      <c r="G1" s="1" t="inlineStr">
        <is>
          <t>7月6日</t>
        </is>
      </c>
      <c r="H1" s="1" t="inlineStr">
        <is>
          <t>7月7日</t>
        </is>
      </c>
      <c r="I1" s="1" t="inlineStr">
        <is>
          <t>合计</t>
        </is>
      </c>
      <c r="J1" t="inlineStr">
        <is>
          <t>备注</t>
        </is>
      </c>
    </row>
    <row r="2">
      <c r="A2" s="2" t="inlineStr">
        <is>
          <t>花叶类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t="inlineStr"/>
    </row>
    <row r="3">
      <c r="A3" s="2" t="inlineStr">
        <is>
          <t>花菜类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t="inlineStr"/>
    </row>
    <row r="4">
      <c r="A4" s="2" t="inlineStr">
        <is>
          <t>水生根茎类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t="inlineStr"/>
    </row>
    <row r="5">
      <c r="A5" s="2" t="inlineStr">
        <is>
          <t>茄类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t="inlineStr"/>
    </row>
    <row r="6">
      <c r="A6" s="2" t="inlineStr">
        <is>
          <t>辣椒类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t="inlineStr"/>
    </row>
    <row r="7">
      <c r="A7" s="2" t="inlineStr">
        <is>
          <t>食用菌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t="inlineStr"/>
    </row>
    <row r="8">
      <c r="A8" s="2" t="inlineStr">
        <is>
          <t>合计</t>
        </is>
      </c>
      <c r="B8" s="3">
        <f>SUM(B2:B7)</f>
        <v/>
      </c>
      <c r="C8" s="3">
        <f>SUM(C2:C7)</f>
        <v/>
      </c>
      <c r="D8" s="3">
        <f>SUM(D2:D7)</f>
        <v/>
      </c>
      <c r="E8" s="3">
        <f>SUM(E2:E7)</f>
        <v/>
      </c>
      <c r="F8" s="3">
        <f>SUM(F2:F7)</f>
        <v/>
      </c>
      <c r="G8" s="3">
        <f>SUM(G2:G7)</f>
        <v/>
      </c>
      <c r="H8" s="3">
        <f>SUM(H2:H7)</f>
        <v/>
      </c>
      <c r="I8" s="3" t="inlineStr"/>
      <c r="J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品类</t>
        </is>
      </c>
      <c r="B1" s="1" t="inlineStr">
        <is>
          <t>7月1日</t>
        </is>
      </c>
      <c r="C1" s="1" t="inlineStr">
        <is>
          <t>7月2日</t>
        </is>
      </c>
      <c r="D1" s="1" t="inlineStr">
        <is>
          <t>7月3日</t>
        </is>
      </c>
      <c r="E1" s="1" t="inlineStr">
        <is>
          <t>7月4日</t>
        </is>
      </c>
      <c r="F1" s="1" t="inlineStr">
        <is>
          <t>7月5日</t>
        </is>
      </c>
      <c r="G1" s="1" t="inlineStr">
        <is>
          <t>7月6日</t>
        </is>
      </c>
      <c r="H1" s="1" t="inlineStr">
        <is>
          <t>7月7日</t>
        </is>
      </c>
      <c r="I1" s="1" t="inlineStr">
        <is>
          <t>加成率θ</t>
        </is>
      </c>
      <c r="J1" s="1" t="inlineStr">
        <is>
          <t>备注</t>
        </is>
      </c>
    </row>
    <row r="2">
      <c r="A2" s="2" t="inlineStr">
        <is>
          <t>花叶类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2" t="inlineStr">
        <is>
          <t>花菜类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>
        <is>
          <t>水生根茎类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茄类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辣椒类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食用菌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单品编码</t>
        </is>
      </c>
      <c r="C1" s="1" t="inlineStr">
        <is>
          <t>单品名称</t>
        </is>
      </c>
      <c r="D1" s="1" t="inlineStr">
        <is>
          <t>分类</t>
        </is>
      </c>
      <c r="E1" s="1" t="inlineStr">
        <is>
          <t>补货量(kg)</t>
        </is>
      </c>
      <c r="F1" s="1" t="inlineStr">
        <is>
          <t>定价(元/kg)</t>
        </is>
      </c>
      <c r="G1" s="1" t="inlineStr">
        <is>
          <t>进价(元/kg)</t>
        </is>
      </c>
      <c r="H1" s="1" t="inlineStr">
        <is>
          <t>损耗率(%)</t>
        </is>
      </c>
      <c r="I1" s="1" t="inlineStr">
        <is>
          <t>是否入选</t>
        </is>
      </c>
    </row>
    <row r="2">
      <c r="A2" s="2" t="n">
        <v>1</v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n">
        <v>2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n">
        <v>3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n">
        <v>4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n">
        <v>7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n">
        <v>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n">
        <v>10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n">
        <v>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2" t="n">
        <v>12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n">
        <v>13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n">
        <v>14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2" t="n">
        <v>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2" t="n">
        <v>16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2" t="n">
        <v>17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2" t="n">
        <v>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2" t="n">
        <v>19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>
      <c r="A21" s="2" t="n">
        <v>20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2" t="n">
        <v>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>
      <c r="A23" s="2" t="n">
        <v>22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2" t="n">
        <v>23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>
      <c r="A25" s="2" t="n">
        <v>24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>
      <c r="A26" s="2" t="n">
        <v>25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7">
      <c r="A27" s="2" t="n">
        <v>26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8">
      <c r="A28" s="2" t="n">
        <v>27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>
      <c r="A29" s="2" t="n">
        <v>28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>
      <c r="A30" s="2" t="n">
        <v>29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1">
      <c r="A31" s="2" t="n">
        <v>30</v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2">
      <c r="A32" s="2" t="n">
        <v>31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3">
      <c r="A33" s="2" t="n">
        <v>32</v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>
      <c r="A34" s="2" t="n">
        <v>33</v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5">
      <c r="A35" s="2" t="n">
        <v>34</v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>
      <c r="A36" s="2" t="n">
        <v>35</v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7">
      <c r="A37" s="2" t="n">
        <v>36</v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>
      <c r="A38" s="2" t="n">
        <v>37</v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39">
      <c r="A39" s="2" t="n">
        <v>38</v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0">
      <c r="A40" s="2" t="n">
        <v>39</v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t="inlineStr">
        <is>
          <t>约束检查</t>
        </is>
      </c>
      <c r="B42" t="inlineStr">
        <is>
          <t>入选单品数(27-33):</t>
        </is>
      </c>
      <c r="C42">
        <f>COUNTIF(I2:I40,"是")</f>
        <v/>
      </c>
      <c r="D42" t="inlineStr">
        <is>
          <t>最小陈列量≥2.5kg:</t>
        </is>
      </c>
      <c r="E42">
        <f>IF(COUNTIF(E2:E40,"&lt;2.5")&gt;0,"违反!","满足")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品类</t>
        </is>
      </c>
      <c r="B1" s="1" t="inlineStr">
        <is>
          <t>单品数</t>
        </is>
      </c>
      <c r="C1" s="1" t="inlineStr">
        <is>
          <t>总销量(kg)</t>
        </is>
      </c>
      <c r="D1" s="1" t="inlineStr">
        <is>
          <t>日均销量(kg)</t>
        </is>
      </c>
      <c r="E1" s="1" t="inlineStr">
        <is>
          <t>标准差</t>
        </is>
      </c>
      <c r="F1" s="1" t="inlineStr">
        <is>
          <t>变异系数</t>
        </is>
      </c>
      <c r="G1" s="1" t="inlineStr">
        <is>
          <t>备注</t>
        </is>
      </c>
    </row>
    <row r="2">
      <c r="A2" s="2" t="inlineStr">
        <is>
          <t>花叶类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花菜类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>
        <is>
          <t>水生根茎类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茄类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辣椒类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食用菌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全部</t>
        </is>
      </c>
      <c r="B8" s="3" t="inlineStr"/>
      <c r="C8" s="3" t="inlineStr"/>
      <c r="D8" s="3" t="inlineStr"/>
      <c r="E8" s="3" t="inlineStr"/>
      <c r="F8" s="3" t="inlineStr"/>
      <c r="G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2026-08-06T03:44:05Z</dcterms:created>
  <dcterms:modified xmlns:dcterms="http://purl.org/dc/terms/" xmlns:xsi="http://www.w3.org/2001/XMLSchema-instance" xsi:type="dcterms:W3CDTF">2026-08-06T03:44:05Z</dcterms:modified>
</cp:coreProperties>
</file>